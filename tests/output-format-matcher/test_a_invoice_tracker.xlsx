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30" customWidth="1" min="4" max="4"/>
    <col width="14" customWidth="1" min="5" max="5"/>
    <col width="14" customWidth="1" min="8" max="8"/>
    <col width="12" customWidth="1" min="13" max="13"/>
  </cols>
  <sheetData>
    <row r="1">
      <c r="A1" t="inlineStr">
        <is>
          <t>Date</t>
        </is>
      </c>
      <c r="B1" t="inlineStr">
        <is>
          <t>Invoice No</t>
        </is>
      </c>
      <c r="C1" t="inlineStr">
        <is>
          <t>Supplier</t>
        </is>
      </c>
      <c r="D1" t="inlineStr">
        <is>
          <t>Description</t>
        </is>
      </c>
      <c r="E1" t="inlineStr">
        <is>
          <t>Net Amount</t>
        </is>
      </c>
      <c r="F1" t="inlineStr">
        <is>
          <t>VAT Rate</t>
        </is>
      </c>
      <c r="G1" t="inlineStr">
        <is>
          <t>VAT Amount</t>
        </is>
      </c>
      <c r="H1" t="inlineStr">
        <is>
          <t>Gross Amount</t>
        </is>
      </c>
      <c r="I1" t="inlineStr">
        <is>
          <t>Category</t>
        </is>
      </c>
      <c r="J1" t="inlineStr">
        <is>
          <t>Project</t>
        </is>
      </c>
      <c r="K1" t="inlineStr">
        <is>
          <t>Payment Due</t>
        </is>
      </c>
      <c r="L1" t="inlineStr">
        <is>
          <t>Paid Date</t>
        </is>
      </c>
      <c r="M1" t="inlineStr">
        <is>
          <t>Status</t>
        </is>
      </c>
      <c r="N1" t="inlineStr">
        <is>
          <t>Notes</t>
        </is>
      </c>
    </row>
    <row r="2">
      <c r="A2" s="1" t="n">
        <v>45672</v>
      </c>
      <c r="B2" t="inlineStr">
        <is>
          <t>INV-001</t>
        </is>
      </c>
      <c r="C2" t="inlineStr">
        <is>
          <t>Acme Supplies</t>
        </is>
      </c>
      <c r="D2" t="inlineStr">
        <is>
          <t>Bricks</t>
        </is>
      </c>
      <c r="E2" s="2" t="n">
        <v>1000</v>
      </c>
      <c r="F2" s="3" t="n">
        <v>0.2</v>
      </c>
      <c r="G2" s="2">
        <f>E2*F2</f>
        <v/>
      </c>
      <c r="H2" s="2">
        <f>E2+G2</f>
        <v/>
      </c>
      <c r="I2" t="inlineStr">
        <is>
          <t>Materials</t>
        </is>
      </c>
      <c r="J2" t="inlineStr">
        <is>
          <t>PRJ-101</t>
        </is>
      </c>
      <c r="K2" s="1" t="n">
        <v>45703</v>
      </c>
      <c r="L2" s="1" t="n"/>
      <c r="M2" t="inlineStr">
        <is>
          <t>Unpaid</t>
        </is>
      </c>
      <c r="N2" t="inlineStr"/>
    </row>
    <row r="3">
      <c r="A3" s="1" t="n">
        <v>45677</v>
      </c>
      <c r="B3" t="inlineStr">
        <is>
          <t>INV-002</t>
        </is>
      </c>
      <c r="C3" t="inlineStr">
        <is>
          <t>Quick Fix Ltd</t>
        </is>
      </c>
      <c r="D3" t="inlineStr">
        <is>
          <t>Plumbing</t>
        </is>
      </c>
      <c r="E3" s="2" t="n">
        <v>500</v>
      </c>
      <c r="F3" s="3" t="n">
        <v>0.2</v>
      </c>
      <c r="G3" s="2">
        <f>E3*F3</f>
        <v/>
      </c>
      <c r="H3" s="2">
        <f>E3+G3</f>
        <v/>
      </c>
      <c r="I3" t="inlineStr">
        <is>
          <t>Subcontractor</t>
        </is>
      </c>
      <c r="J3" t="inlineStr">
        <is>
          <t>PRJ-101</t>
        </is>
      </c>
      <c r="K3" s="1" t="n">
        <v>45708</v>
      </c>
      <c r="L3" s="1" t="n">
        <v>45698</v>
      </c>
      <c r="M3" t="inlineStr">
        <is>
          <t>Paid</t>
        </is>
      </c>
      <c r="N3" t="inlineStr"/>
    </row>
    <row r="4">
      <c r="A4" s="1" t="n">
        <v>45689</v>
      </c>
      <c r="B4" t="inlineStr">
        <is>
          <t>INV-003</t>
        </is>
      </c>
      <c r="C4" t="inlineStr">
        <is>
          <t>Steel Co</t>
        </is>
      </c>
      <c r="D4" t="inlineStr">
        <is>
          <t>Steel beams</t>
        </is>
      </c>
      <c r="E4" s="2" t="n">
        <v>3500</v>
      </c>
      <c r="F4" s="3" t="n">
        <v>0.2</v>
      </c>
      <c r="G4" s="2">
        <f>E4*F4</f>
        <v/>
      </c>
      <c r="H4" s="2">
        <f>E4+G4</f>
        <v/>
      </c>
      <c r="I4" t="inlineStr">
        <is>
          <t>Materials</t>
        </is>
      </c>
      <c r="J4" t="inlineStr">
        <is>
          <t>PRJ-102</t>
        </is>
      </c>
      <c r="K4" s="1" t="n">
        <v>45717</v>
      </c>
      <c r="L4" s="1" t="n"/>
      <c r="M4" t="inlineStr">
        <is>
          <t>Overdue</t>
        </is>
      </c>
      <c r="N4" t="inlineStr">
        <is>
          <t>Chase required</t>
        </is>
      </c>
    </row>
  </sheetData>
  <conditionalFormatting sqref="M2:M1000">
    <cfRule type="cellIs" priority="1" operator="equal" dxfId="0">
      <formula>"Overdue"</formula>
    </cfRule>
    <cfRule type="cellIs" priority="2" operator="equal" dxfId="1">
      <formula>"Paid"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2026-03-06T19:15:51Z</dcterms:created>
  <dcterms:modified xmlns:dcterms="http://purl.org/dc/terms/" xmlns:xsi="http://www.w3.org/2001/XMLSchema-instance" xsi:type="dcterms:W3CDTF">2026-03-06T19:15:51Z</dcterms:modified>
</cp:coreProperties>
</file>